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opiazza-my.sharepoint.com/personal/jperaza_bmc_com_pa/Documents/Documentos/Proyecciones/2026/"/>
    </mc:Choice>
  </mc:AlternateContent>
  <xr:revisionPtr revIDLastSave="228" documentId="8_{F1FC22CF-CCD7-41B6-AE4A-7CE3C176398B}" xr6:coauthVersionLast="47" xr6:coauthVersionMax="47" xr10:uidLastSave="{C17B246C-1C73-4904-9A12-BE0EC6383844}"/>
  <bookViews>
    <workbookView xWindow="-110" yWindow="-110" windowWidth="19420" windowHeight="10300" xr2:uid="{32E069AE-F4F6-4451-BA3D-8945E94ACEE5}"/>
  </bookViews>
  <sheets>
    <sheet name="Consolidado" sheetId="2" r:id="rId1"/>
    <sheet name="Presupuesto de vts 2026" sheetId="1" r:id="rId2"/>
  </sheets>
  <definedNames>
    <definedName name="_xlnm.Print_Area" localSheetId="1">'Presupuesto de vts 2026'!$A$1:$T$35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5" i="1" l="1"/>
  <c r="L25" i="1"/>
  <c r="M25" i="1"/>
  <c r="N25" i="1" s="1"/>
  <c r="K26" i="1"/>
  <c r="L26" i="1" s="1"/>
  <c r="M26" i="1"/>
  <c r="N26" i="1"/>
  <c r="K27" i="1"/>
  <c r="L27" i="1"/>
  <c r="M27" i="1"/>
  <c r="N27" i="1"/>
  <c r="T8" i="1"/>
  <c r="T9" i="1"/>
  <c r="T10" i="1"/>
  <c r="S8" i="1"/>
  <c r="S9" i="1"/>
  <c r="S10" i="1"/>
  <c r="R8" i="1"/>
  <c r="R9" i="1"/>
  <c r="R10" i="1"/>
  <c r="Q8" i="1"/>
  <c r="Q9" i="1"/>
  <c r="Q10" i="1"/>
  <c r="J26" i="1"/>
  <c r="J27" i="1"/>
  <c r="P8" i="1"/>
  <c r="P9" i="1"/>
  <c r="P10" i="1"/>
  <c r="J25" i="1"/>
  <c r="C16" i="2" l="1"/>
  <c r="B16" i="2"/>
  <c r="D16" i="2"/>
  <c r="C13" i="2"/>
  <c r="B13" i="2"/>
  <c r="C12" i="2"/>
  <c r="B12" i="2"/>
  <c r="C15" i="2" l="1"/>
  <c r="B15" i="2"/>
  <c r="D15" i="2" s="1"/>
  <c r="C14" i="2"/>
  <c r="B14" i="2"/>
  <c r="D14" i="2" s="1"/>
  <c r="D13" i="2"/>
  <c r="D12" i="2"/>
  <c r="C8" i="2"/>
  <c r="B8" i="2"/>
  <c r="C7" i="2"/>
  <c r="B7" i="2"/>
  <c r="C6" i="2"/>
  <c r="B6" i="2"/>
  <c r="D5" i="2"/>
  <c r="D6" i="2"/>
  <c r="D7" i="2"/>
  <c r="C5" i="2"/>
  <c r="B5" i="2"/>
  <c r="D4" i="2"/>
  <c r="C4" i="2"/>
  <c r="B4" i="2"/>
  <c r="R17" i="1"/>
  <c r="T17" i="1"/>
  <c r="J24" i="1"/>
  <c r="K24" i="1" s="1"/>
  <c r="T7" i="1"/>
  <c r="S7" i="1"/>
  <c r="S17" i="1" s="1"/>
  <c r="R7" i="1"/>
  <c r="Q7" i="1"/>
  <c r="P7" i="1"/>
  <c r="Q17" i="1"/>
  <c r="T6" i="1"/>
  <c r="T5" i="1"/>
  <c r="S6" i="1"/>
  <c r="S5" i="1"/>
  <c r="R6" i="1"/>
  <c r="R5" i="1"/>
  <c r="Q6" i="1"/>
  <c r="Q5" i="1"/>
  <c r="J23" i="1"/>
  <c r="M23" i="1" s="1"/>
  <c r="N23" i="1" s="1"/>
  <c r="P6" i="1"/>
  <c r="D8" i="2" l="1"/>
  <c r="K23" i="1"/>
  <c r="L23" i="1" s="1"/>
  <c r="L24" i="1"/>
  <c r="M24" i="1"/>
  <c r="C35" i="1"/>
  <c r="O18" i="1"/>
  <c r="L18" i="1"/>
  <c r="I18" i="1"/>
  <c r="F18" i="1"/>
  <c r="C18" i="1"/>
  <c r="J34" i="1"/>
  <c r="G34" i="1"/>
  <c r="D34" i="1"/>
  <c r="P5" i="1"/>
  <c r="P17" i="1"/>
  <c r="M17" i="1"/>
  <c r="J17" i="1"/>
  <c r="G17" i="1"/>
  <c r="D17" i="1"/>
  <c r="J22" i="1"/>
  <c r="M22" i="1" l="1"/>
  <c r="N22" i="1" s="1"/>
  <c r="K22" i="1"/>
  <c r="M34" i="1"/>
  <c r="N34" i="1" s="1"/>
  <c r="N24" i="1"/>
  <c r="I22" i="1"/>
  <c r="I23" i="1"/>
  <c r="I24" i="1"/>
  <c r="I25" i="1"/>
  <c r="I26" i="1"/>
  <c r="I27" i="1"/>
  <c r="I28" i="1"/>
  <c r="I29" i="1"/>
  <c r="I30" i="1"/>
  <c r="I31" i="1"/>
  <c r="I32" i="1"/>
  <c r="I33" i="1"/>
  <c r="H23" i="1"/>
  <c r="H24" i="1"/>
  <c r="H25" i="1"/>
  <c r="H26" i="1"/>
  <c r="H27" i="1"/>
  <c r="H28" i="1"/>
  <c r="H29" i="1"/>
  <c r="H30" i="1"/>
  <c r="H31" i="1"/>
  <c r="H32" i="1"/>
  <c r="H33" i="1"/>
  <c r="H22" i="1"/>
  <c r="F34" i="1"/>
  <c r="F35" i="1" s="1"/>
  <c r="E34" i="1"/>
  <c r="C34" i="1"/>
  <c r="B34" i="1"/>
  <c r="O5" i="1"/>
  <c r="O6" i="1"/>
  <c r="O7" i="1"/>
  <c r="O8" i="1"/>
  <c r="O9" i="1"/>
  <c r="O10" i="1"/>
  <c r="O11" i="1"/>
  <c r="O12" i="1"/>
  <c r="O13" i="1"/>
  <c r="O14" i="1"/>
  <c r="O15" i="1"/>
  <c r="O16" i="1"/>
  <c r="N6" i="1"/>
  <c r="N7" i="1"/>
  <c r="N8" i="1"/>
  <c r="N9" i="1"/>
  <c r="N10" i="1"/>
  <c r="N11" i="1"/>
  <c r="N12" i="1"/>
  <c r="N13" i="1"/>
  <c r="N14" i="1"/>
  <c r="N15" i="1"/>
  <c r="N16" i="1"/>
  <c r="N5" i="1"/>
  <c r="C17" i="1"/>
  <c r="E17" i="1"/>
  <c r="F17" i="1"/>
  <c r="H17" i="1"/>
  <c r="I17" i="1"/>
  <c r="K17" i="1"/>
  <c r="L17" i="1"/>
  <c r="B17" i="1"/>
  <c r="L22" i="1" l="1"/>
  <c r="K34" i="1"/>
  <c r="L34" i="1" s="1"/>
  <c r="O17" i="1"/>
  <c r="I34" i="1"/>
  <c r="I35" i="1" s="1"/>
  <c r="H34" i="1"/>
  <c r="N17" i="1"/>
</calcChain>
</file>

<file path=xl/sharedStrings.xml><?xml version="1.0" encoding="utf-8"?>
<sst xmlns="http://schemas.openxmlformats.org/spreadsheetml/2006/main" count="72" uniqueCount="32">
  <si>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</si>
  <si>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</si>
  <si>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</si>
  <si>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</si>
  <si>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</si>
  <si>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</si>
  <si>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</si>
  <si>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</si>
  <si>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</si>
  <si>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</si>
  <si>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</si>
  <si>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</si>
  <si>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Mes</t>
  </si>
  <si>
    <t>NB MP</t>
  </si>
  <si>
    <t>NB ALB</t>
  </si>
  <si>
    <t>NB DOR</t>
  </si>
  <si>
    <t>NB MM</t>
  </si>
  <si>
    <t>TOTAL</t>
  </si>
  <si>
    <t>Totales</t>
  </si>
  <si>
    <t>RB MP</t>
  </si>
  <si>
    <t>RB ALB</t>
  </si>
  <si>
    <t>PRESUPUESTO DE VENTAS TIENDAS 2026</t>
  </si>
  <si>
    <t>REAL</t>
  </si>
  <si>
    <t>LY</t>
  </si>
  <si>
    <t>LY%</t>
  </si>
  <si>
    <t>PPTO</t>
  </si>
  <si>
    <t>PPTO %</t>
  </si>
  <si>
    <t>TOTALES</t>
  </si>
  <si>
    <t>S1-26</t>
  </si>
  <si>
    <t>S2-26</t>
  </si>
  <si>
    <t>TIENDA</t>
  </si>
  <si>
    <t>PREPUESTO DE VENTAS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</si>
</sst>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FF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33">
    <xf numFmtId="0" fontId="0" fillId="0" borderId="0" xfId="0"/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2" borderId="1" xfId="0" applyFill="1" applyBorder="1"/>
    <xf numFmtId="0" fontId="0" fillId="0" borderId="1" xfId="0" applyBorder="1"/>
    <xf numFmtId="4" fontId="0" fillId="0" borderId="1" xfId="0" applyNumberFormat="1" applyBorder="1"/>
    <xf numFmtId="0" fontId="1" fillId="0" borderId="1" xfId="0" applyFont="1" applyBorder="1"/>
    <xf numFmtId="4" fontId="1" fillId="0" borderId="1" xfId="0" applyNumberFormat="1" applyFont="1" applyBorder="1"/>
    <xf numFmtId="0" fontId="2" fillId="0" borderId="0" xfId="0" applyFont="1"/>
    <xf numFmtId="0" fontId="0" fillId="5" borderId="1" xfId="0" applyFill="1" applyBorder="1" applyAlignment="1">
      <alignment horizontal="center"/>
    </xf>
    <xf numFmtId="4" fontId="4" fillId="0" borderId="1" xfId="0" applyNumberFormat="1" applyFont="1" applyBorder="1"/>
    <xf numFmtId="9" fontId="4" fillId="0" borderId="0" xfId="1" applyFont="1" applyAlignment="1">
      <alignment horizontal="center"/>
    </xf>
    <xf numFmtId="4" fontId="0" fillId="0" borderId="0" xfId="0" applyNumberFormat="1"/>
    <xf numFmtId="164" fontId="0" fillId="0" borderId="0" xfId="1" applyNumberFormat="1" applyFont="1"/>
    <xf numFmtId="0" fontId="0" fillId="6" borderId="0" xfId="0" applyFill="1" applyAlignment="1">
      <alignment horizontal="center"/>
    </xf>
    <xf numFmtId="4" fontId="1" fillId="0" borderId="0" xfId="0" applyNumberFormat="1" applyFont="1"/>
    <xf numFmtId="164" fontId="1" fillId="0" borderId="0" xfId="1" applyNumberFormat="1" applyFont="1"/>
    <xf numFmtId="164" fontId="1" fillId="0" borderId="7" xfId="1" applyNumberFormat="1" applyFont="1" applyFill="1" applyBorder="1"/>
    <xf numFmtId="9" fontId="1" fillId="0" borderId="0" xfId="1" applyFont="1"/>
    <xf numFmtId="0" fontId="0" fillId="7" borderId="0" xfId="0" applyFill="1"/>
    <xf numFmtId="3" fontId="0" fillId="0" borderId="0" xfId="0" applyNumberFormat="1"/>
    <xf numFmtId="0" fontId="0" fillId="8" borderId="0" xfId="0" applyFill="1"/>
    <xf numFmtId="0" fontId="0" fillId="8" borderId="0" xfId="0" applyFill="1" applyAlignment="1">
      <alignment horizontal="center"/>
    </xf>
    <xf numFmtId="0" fontId="1" fillId="0" borderId="0" xfId="0" applyFont="1"/>
    <xf numFmtId="3" fontId="0" fillId="7" borderId="0" xfId="0" applyNumberFormat="1" applyFill="1"/>
    <xf numFmtId="0" fontId="0" fillId="0" borderId="1" xfId="0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BCB29-30C8-417A-BFE7-59451B93BFBE}">
  <dimension ref="A1:D16"/>
  <sheetViews>
    <sheetView tabSelected="1" workbookViewId="0">
      <selection activeCell="D19" sqref="D19"/>
    </sheetView>
  </sheetViews>
  <sheetFormatPr baseColWidth="10" defaultRowHeight="14.5" x14ac:dyDescent="0.35"/>
  <sheetData>
    <row r="1" spans="1:4" x14ac:dyDescent="0.35">
      <c r="A1" s="24" t="s">
        <v>31</v>
      </c>
    </row>
    <row r="3" spans="1:4" x14ac:dyDescent="0.35">
      <c r="A3" s="22" t="s">
        <v>30</v>
      </c>
      <c r="B3" s="23" t="s">
        <v>28</v>
      </c>
      <c r="C3" s="23" t="s">
        <v>29</v>
      </c>
      <c r="D3" s="23" t="s">
        <v>17</v>
      </c>
    </row>
    <row r="4" spans="1:4" x14ac:dyDescent="0.35">
      <c r="A4" t="s">
        <v>13</v>
      </c>
      <c r="B4" s="21">
        <f>SUM('Presupuesto de vts 2026'!C5:C10)</f>
        <v>650000</v>
      </c>
      <c r="C4" s="21">
        <f>SUM('Presupuesto de vts 2026'!C11:C16)</f>
        <v>950000</v>
      </c>
      <c r="D4" s="21">
        <f>SUM(B4:C4)</f>
        <v>1600000</v>
      </c>
    </row>
    <row r="5" spans="1:4" x14ac:dyDescent="0.35">
      <c r="A5" t="s">
        <v>14</v>
      </c>
      <c r="B5" s="21">
        <f>SUM('Presupuesto de vts 2026'!F5:F10)</f>
        <v>415000</v>
      </c>
      <c r="C5" s="21">
        <f>SUM('Presupuesto de vts 2026'!F11:F16)</f>
        <v>625000</v>
      </c>
      <c r="D5" s="21">
        <f t="shared" ref="D5:D7" si="0">SUM(B5:C5)</f>
        <v>1040000</v>
      </c>
    </row>
    <row r="6" spans="1:4" x14ac:dyDescent="0.35">
      <c r="A6" t="s">
        <v>15</v>
      </c>
      <c r="B6" s="21">
        <f>SUM('Presupuesto de vts 2026'!I5:I10)</f>
        <v>163000</v>
      </c>
      <c r="C6" s="21">
        <f>SUM('Presupuesto de vts 2026'!I11:I16)</f>
        <v>197000</v>
      </c>
      <c r="D6" s="21">
        <f t="shared" si="0"/>
        <v>360000</v>
      </c>
    </row>
    <row r="7" spans="1:4" x14ac:dyDescent="0.35">
      <c r="A7" t="s">
        <v>16</v>
      </c>
      <c r="B7" s="21">
        <f>SUM('Presupuesto de vts 2026'!L5:L10)</f>
        <v>139000</v>
      </c>
      <c r="C7" s="21">
        <f>SUM('Presupuesto de vts 2026'!L11:L16)</f>
        <v>261000</v>
      </c>
      <c r="D7" s="21">
        <f t="shared" si="0"/>
        <v>400000</v>
      </c>
    </row>
    <row r="8" spans="1:4" x14ac:dyDescent="0.35">
      <c r="A8" s="20" t="s">
        <v>27</v>
      </c>
      <c r="B8" s="25">
        <f>SUM(B4:B7)</f>
        <v>1367000</v>
      </c>
      <c r="C8" s="25">
        <f>SUM(C4:C7)</f>
        <v>2033000</v>
      </c>
      <c r="D8" s="25">
        <f>SUM(D4:D7)</f>
        <v>3400000</v>
      </c>
    </row>
    <row r="11" spans="1:4" x14ac:dyDescent="0.35">
      <c r="A11" s="22" t="s">
        <v>30</v>
      </c>
      <c r="B11" s="23" t="s">
        <v>28</v>
      </c>
      <c r="C11" s="23" t="s">
        <v>29</v>
      </c>
      <c r="D11" s="23" t="s">
        <v>17</v>
      </c>
    </row>
    <row r="12" spans="1:4" x14ac:dyDescent="0.35">
      <c r="A12" t="s">
        <v>19</v>
      </c>
      <c r="B12" s="21">
        <f>SUM('Presupuesto de vts 2026'!C22:C27)</f>
        <v>685000</v>
      </c>
      <c r="C12" s="21">
        <f>SUM('Presupuesto de vts 2026'!C28:C33)</f>
        <v>765000</v>
      </c>
      <c r="D12" s="21">
        <f>SUM(B12:C12)</f>
        <v>1450000</v>
      </c>
    </row>
    <row r="13" spans="1:4" x14ac:dyDescent="0.35">
      <c r="A13" t="s">
        <v>20</v>
      </c>
      <c r="B13" s="21">
        <f>SUM('Presupuesto de vts 2026'!F22:F27)</f>
        <v>555000</v>
      </c>
      <c r="C13" s="21">
        <f>SUM('Presupuesto de vts 2026'!F28:F33)</f>
        <v>665000</v>
      </c>
      <c r="D13" s="21">
        <f t="shared" ref="D13:D15" si="1">SUM(B13:C13)</f>
        <v>1220000</v>
      </c>
    </row>
    <row r="14" spans="1:4" hidden="1" x14ac:dyDescent="0.35">
      <c r="A14" t="s">
        <v>15</v>
      </c>
      <c r="B14" s="21">
        <f>SUM('Presupuesto de vts 2026'!I13:I18)</f>
        <v>500000.11921738851</v>
      </c>
      <c r="C14" s="21">
        <f>SUM('Presupuesto de vts 2026'!I19:I24)</f>
        <v>622026</v>
      </c>
      <c r="D14" s="21">
        <f t="shared" si="1"/>
        <v>1122026.1192173886</v>
      </c>
    </row>
    <row r="15" spans="1:4" hidden="1" x14ac:dyDescent="0.35">
      <c r="A15" t="s">
        <v>16</v>
      </c>
      <c r="B15" s="21">
        <f>SUM('Presupuesto de vts 2026'!L13:L18)</f>
        <v>602000.13891509874</v>
      </c>
      <c r="C15" s="21">
        <f>SUM('Presupuesto de vts 2026'!L19:L24)</f>
        <v>0.34010563056080123</v>
      </c>
      <c r="D15" s="21">
        <f t="shared" si="1"/>
        <v>602000.47902072931</v>
      </c>
    </row>
    <row r="16" spans="1:4" x14ac:dyDescent="0.35">
      <c r="A16" s="20" t="s">
        <v>27</v>
      </c>
      <c r="B16" s="25">
        <f>SUM(B12:B13)</f>
        <v>1240000</v>
      </c>
      <c r="C16" s="25">
        <f>SUM(C12:C13)</f>
        <v>1430000</v>
      </c>
      <c r="D16" s="25">
        <f>SUM(D12:D13)</f>
        <v>2670000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F0B8B-94F0-4958-A291-FE0C881E9FB4}">
  <dimension ref="A1:T35"/>
  <sheetViews>
    <sheetView topLeftCell="G21" workbookViewId="0">
      <selection activeCell="O30" sqref="O30"/>
    </sheetView>
  </sheetViews>
  <sheetFormatPr baseColWidth="10" defaultRowHeight="14.5" x14ac:dyDescent="0.35"/>
  <cols>
    <col min="1" max="1" width="9.6328125" customWidth="1"/>
    <col min="2" max="3" width="11.453125" bestFit="1" customWidth="1"/>
    <col min="4" max="4" width="11.453125" customWidth="1"/>
    <col min="5" max="6" width="11.453125" bestFit="1" customWidth="1"/>
    <col min="7" max="7" width="11.453125" customWidth="1"/>
    <col min="8" max="9" width="11.453125" bestFit="1" customWidth="1"/>
    <col min="10" max="10" width="11.453125" customWidth="1"/>
    <col min="14" max="15" width="11.453125" bestFit="1" customWidth="1"/>
    <col min="16" max="16" width="11.453125" customWidth="1"/>
    <col min="18" max="18" width="7.6328125" customWidth="1"/>
    <col min="20" max="20" width="8.6328125" customWidth="1"/>
  </cols>
  <sheetData>
    <row r="1" spans="1:20" ht="16" x14ac:dyDescent="0.4">
      <c r="A1" s="9" t="s">
        <v>21</v>
      </c>
    </row>
    <row r="3" spans="1:20" x14ac:dyDescent="0.35">
      <c r="B3" s="28" t="s">
        <v>13</v>
      </c>
      <c r="C3" s="29"/>
      <c r="D3" s="30"/>
      <c r="E3" s="28" t="s">
        <v>14</v>
      </c>
      <c r="F3" s="29"/>
      <c r="G3" s="30"/>
      <c r="H3" s="28" t="s">
        <v>15</v>
      </c>
      <c r="I3" s="29"/>
      <c r="J3" s="30"/>
      <c r="K3" s="28" t="s">
        <v>16</v>
      </c>
      <c r="L3" s="29"/>
      <c r="M3" s="30"/>
      <c r="N3" s="27" t="s">
        <v>17</v>
      </c>
      <c r="O3" s="27"/>
      <c r="P3" s="27"/>
    </row>
    <row r="4" spans="1:20" x14ac:dyDescent="0.35">
      <c r="A4" s="4" t="s">
        <v>12</v>
      </c>
      <c r="B4" s="2">
        <v>2025</v>
      </c>
      <c r="C4" s="3">
        <v>2026</v>
      </c>
      <c r="D4" s="10" t="s">
        <v>22</v>
      </c>
      <c r="E4" s="2">
        <v>2025</v>
      </c>
      <c r="F4" s="3">
        <v>2026</v>
      </c>
      <c r="G4" s="10" t="s">
        <v>22</v>
      </c>
      <c r="H4" s="2">
        <v>2025</v>
      </c>
      <c r="I4" s="3">
        <v>2026</v>
      </c>
      <c r="J4" s="10" t="s">
        <v>22</v>
      </c>
      <c r="K4" s="2">
        <v>2025</v>
      </c>
      <c r="L4" s="3">
        <v>2026</v>
      </c>
      <c r="M4" s="10" t="s">
        <v>22</v>
      </c>
      <c r="N4" s="2">
        <v>2025</v>
      </c>
      <c r="O4" s="3">
        <v>2026</v>
      </c>
      <c r="P4" s="10" t="s">
        <v>22</v>
      </c>
      <c r="Q4" s="15" t="s">
        <v>23</v>
      </c>
      <c r="R4" s="15" t="s">
        <v>24</v>
      </c>
      <c r="S4" s="15" t="s">
        <v>25</v>
      </c>
      <c r="T4" s="15" t="s">
        <v>26</v>
      </c>
    </row>
    <row r="5" spans="1:20" x14ac:dyDescent="0.35">
      <c r="A5" s="5" t="s">
        <v>0</v>
      </c>
      <c r="B5" s="6">
        <v>65189.59</v>
      </c>
      <c r="C5" s="6">
        <v>90000</v>
      </c>
      <c r="D5" s="6">
        <v>95493.43</v>
      </c>
      <c r="E5" s="6">
        <v>59598.26</v>
      </c>
      <c r="F5" s="6">
        <v>65000</v>
      </c>
      <c r="G5" s="6">
        <v>61386.65</v>
      </c>
      <c r="H5" s="6">
        <v>15655.69</v>
      </c>
      <c r="I5" s="6">
        <v>20000</v>
      </c>
      <c r="J5" s="6">
        <v>15336</v>
      </c>
      <c r="K5" s="6">
        <v>15165.964470000101</v>
      </c>
      <c r="L5" s="6">
        <v>20000</v>
      </c>
      <c r="M5" s="6">
        <v>22370.49</v>
      </c>
      <c r="N5" s="6">
        <f>B5+E5+H5+K5</f>
        <v>155609.5044700001</v>
      </c>
      <c r="O5" s="6">
        <f>C5+F5+I5+L5</f>
        <v>195000</v>
      </c>
      <c r="P5" s="6">
        <f>D5+G5+J5+M5</f>
        <v>194586.56999999998</v>
      </c>
      <c r="Q5" s="13">
        <f>P5-N5</f>
        <v>38977.065529999876</v>
      </c>
      <c r="R5" s="14">
        <f>Q5/N5</f>
        <v>0.25047997975929709</v>
      </c>
      <c r="S5" s="13">
        <f>P5-O5</f>
        <v>-413.43000000002212</v>
      </c>
      <c r="T5" s="14">
        <f>S5/O5</f>
        <v>-2.1201538461539595E-3</v>
      </c>
    </row>
    <row r="6" spans="1:20" x14ac:dyDescent="0.35">
      <c r="A6" s="5" t="s">
        <v>1</v>
      </c>
      <c r="B6" s="6">
        <v>79996.2</v>
      </c>
      <c r="C6" s="6">
        <v>95000</v>
      </c>
      <c r="D6" s="6">
        <v>83516.009999999995</v>
      </c>
      <c r="E6" s="6">
        <v>54978.37</v>
      </c>
      <c r="F6" s="6">
        <v>65000</v>
      </c>
      <c r="G6" s="6">
        <v>45919.07</v>
      </c>
      <c r="H6" s="6">
        <v>19285.169999999998</v>
      </c>
      <c r="I6" s="6">
        <v>20000</v>
      </c>
      <c r="J6" s="6">
        <v>18795.150000000001</v>
      </c>
      <c r="K6" s="6">
        <v>16076.0957722</v>
      </c>
      <c r="L6" s="6">
        <v>20000</v>
      </c>
      <c r="M6" s="6">
        <v>20286.8</v>
      </c>
      <c r="N6" s="6">
        <f t="shared" ref="N6:N16" si="0">B6+E6+H6+K6</f>
        <v>170335.83577219999</v>
      </c>
      <c r="O6" s="6">
        <f t="shared" ref="O6:O16" si="1">C6+F6+I6+L6</f>
        <v>200000</v>
      </c>
      <c r="P6" s="6">
        <f>D6+G6+J6+M6</f>
        <v>168517.02999999997</v>
      </c>
      <c r="Q6" s="13">
        <f>P6-N6</f>
        <v>-1818.8057722000231</v>
      </c>
      <c r="R6" s="14">
        <f>Q6/N6</f>
        <v>-1.0677763513207037E-2</v>
      </c>
      <c r="S6" s="13">
        <f>P6-O6</f>
        <v>-31482.97000000003</v>
      </c>
      <c r="T6" s="14">
        <f>S6/O6</f>
        <v>-0.15741485000000016</v>
      </c>
    </row>
    <row r="7" spans="1:20" x14ac:dyDescent="0.35">
      <c r="A7" s="5" t="s">
        <v>2</v>
      </c>
      <c r="B7" s="6">
        <v>105299.44</v>
      </c>
      <c r="C7" s="6">
        <v>125000</v>
      </c>
      <c r="D7" s="6">
        <v>138488.69</v>
      </c>
      <c r="E7" s="6">
        <v>74610.3</v>
      </c>
      <c r="F7" s="6">
        <v>85000</v>
      </c>
      <c r="G7" s="6">
        <v>67360.02</v>
      </c>
      <c r="H7" s="6">
        <v>32311.8</v>
      </c>
      <c r="I7" s="6">
        <v>35000</v>
      </c>
      <c r="J7" s="6">
        <v>22875.19</v>
      </c>
      <c r="K7" s="6">
        <v>27647.658682000001</v>
      </c>
      <c r="L7" s="6">
        <v>30000</v>
      </c>
      <c r="M7" s="6">
        <v>24892.880000000001</v>
      </c>
      <c r="N7" s="6">
        <f t="shared" si="0"/>
        <v>239869.19868199999</v>
      </c>
      <c r="O7" s="6">
        <f t="shared" si="1"/>
        <v>275000</v>
      </c>
      <c r="P7" s="6">
        <f>D7+G7+J7+M7</f>
        <v>253616.78000000003</v>
      </c>
      <c r="Q7" s="13">
        <f>P7-N7</f>
        <v>13747.58131800004</v>
      </c>
      <c r="R7" s="14">
        <f>Q7/N7</f>
        <v>5.7312824629165995E-2</v>
      </c>
      <c r="S7" s="13">
        <f>P7-O7</f>
        <v>-21383.219999999972</v>
      </c>
      <c r="T7" s="14">
        <f>S7/O7</f>
        <v>-7.7757163636363535E-2</v>
      </c>
    </row>
    <row r="8" spans="1:20" x14ac:dyDescent="0.35">
      <c r="A8" s="5" t="s">
        <v>3</v>
      </c>
      <c r="B8" s="6">
        <v>85453.34</v>
      </c>
      <c r="C8" s="6">
        <v>100000</v>
      </c>
      <c r="D8" s="6">
        <v>117707.95</v>
      </c>
      <c r="E8" s="6">
        <v>58181.33</v>
      </c>
      <c r="F8" s="6">
        <v>70000</v>
      </c>
      <c r="G8" s="6">
        <v>60990.29</v>
      </c>
      <c r="H8" s="6">
        <v>27004.79</v>
      </c>
      <c r="I8" s="6">
        <v>30000</v>
      </c>
      <c r="J8" s="6">
        <v>18924.57</v>
      </c>
      <c r="K8" s="6">
        <v>22325.428912000101</v>
      </c>
      <c r="L8" s="6">
        <v>25000</v>
      </c>
      <c r="M8" s="6">
        <v>27065.45</v>
      </c>
      <c r="N8" s="6">
        <f t="shared" si="0"/>
        <v>192964.88891200008</v>
      </c>
      <c r="O8" s="6">
        <f t="shared" si="1"/>
        <v>225000</v>
      </c>
      <c r="P8" s="6">
        <f t="shared" ref="P8:P10" si="2">D8+G8+J8+M8</f>
        <v>224688.26</v>
      </c>
      <c r="Q8" s="13">
        <f t="shared" ref="Q8:Q10" si="3">P8-N8</f>
        <v>31723.371087999927</v>
      </c>
      <c r="R8" s="14">
        <f t="shared" ref="R8:R10" si="4">Q8/N8</f>
        <v>0.1643997064277693</v>
      </c>
      <c r="S8" s="13">
        <f t="shared" ref="S8:S10" si="5">P8-O8</f>
        <v>-311.73999999999069</v>
      </c>
      <c r="T8" s="14">
        <f t="shared" ref="T8:T10" si="6">S8/O8</f>
        <v>-1.3855111111110696E-3</v>
      </c>
    </row>
    <row r="9" spans="1:20" x14ac:dyDescent="0.35">
      <c r="A9" s="5" t="s">
        <v>4</v>
      </c>
      <c r="B9" s="6">
        <v>107449.59</v>
      </c>
      <c r="C9" s="6">
        <v>130000</v>
      </c>
      <c r="D9" s="6">
        <v>112310.01</v>
      </c>
      <c r="E9" s="6">
        <v>57700.89</v>
      </c>
      <c r="F9" s="6">
        <v>65000</v>
      </c>
      <c r="G9" s="6">
        <v>64798.1</v>
      </c>
      <c r="H9" s="6">
        <v>26632.07</v>
      </c>
      <c r="I9" s="6">
        <v>30000</v>
      </c>
      <c r="J9" s="6">
        <v>19158.27</v>
      </c>
      <c r="K9" s="6">
        <v>21599.616972000102</v>
      </c>
      <c r="L9" s="6">
        <v>22000</v>
      </c>
      <c r="M9" s="6">
        <v>28079.61</v>
      </c>
      <c r="N9" s="6">
        <f t="shared" si="0"/>
        <v>213382.16697200009</v>
      </c>
      <c r="O9" s="6">
        <f t="shared" si="1"/>
        <v>247000</v>
      </c>
      <c r="P9" s="6">
        <f t="shared" si="2"/>
        <v>224345.99</v>
      </c>
      <c r="Q9" s="13">
        <f t="shared" si="3"/>
        <v>10963.823027999897</v>
      </c>
      <c r="R9" s="14">
        <f t="shared" si="4"/>
        <v>5.1381158901805342E-2</v>
      </c>
      <c r="S9" s="13">
        <f t="shared" si="5"/>
        <v>-22654.010000000009</v>
      </c>
      <c r="T9" s="14">
        <f t="shared" si="6"/>
        <v>-9.1716639676113404E-2</v>
      </c>
    </row>
    <row r="10" spans="1:20" x14ac:dyDescent="0.35">
      <c r="A10" s="5" t="s">
        <v>5</v>
      </c>
      <c r="B10" s="6">
        <v>90953.33</v>
      </c>
      <c r="C10" s="6">
        <v>110000</v>
      </c>
      <c r="D10" s="6">
        <v>146771.68</v>
      </c>
      <c r="E10" s="6">
        <v>42586.400000000001</v>
      </c>
      <c r="F10" s="6">
        <v>65000</v>
      </c>
      <c r="G10" s="6">
        <v>72169.740000000005</v>
      </c>
      <c r="H10" s="6">
        <v>26242.52</v>
      </c>
      <c r="I10" s="6">
        <v>28000</v>
      </c>
      <c r="J10" s="6">
        <v>21494.720000000001</v>
      </c>
      <c r="K10" s="6">
        <v>19535.440200000099</v>
      </c>
      <c r="L10" s="6">
        <v>22000</v>
      </c>
      <c r="M10" s="6">
        <v>27560.89</v>
      </c>
      <c r="N10" s="6">
        <f t="shared" si="0"/>
        <v>179317.6902000001</v>
      </c>
      <c r="O10" s="6">
        <f t="shared" si="1"/>
        <v>225000</v>
      </c>
      <c r="P10" s="6">
        <f t="shared" si="2"/>
        <v>267997.02999999997</v>
      </c>
      <c r="Q10" s="13">
        <f t="shared" si="3"/>
        <v>88679.339799999871</v>
      </c>
      <c r="R10" s="14">
        <f t="shared" si="4"/>
        <v>0.49453759805344527</v>
      </c>
      <c r="S10" s="13">
        <f t="shared" si="5"/>
        <v>42997.02999999997</v>
      </c>
      <c r="T10" s="14">
        <f t="shared" si="6"/>
        <v>0.19109791111111096</v>
      </c>
    </row>
    <row r="11" spans="1:20" x14ac:dyDescent="0.35">
      <c r="A11" s="5" t="s">
        <v>6</v>
      </c>
      <c r="B11" s="6">
        <v>126906.31</v>
      </c>
      <c r="C11" s="6">
        <v>150000</v>
      </c>
      <c r="D11" s="6"/>
      <c r="E11" s="6">
        <v>81083.61</v>
      </c>
      <c r="F11" s="6">
        <v>90000</v>
      </c>
      <c r="G11" s="6"/>
      <c r="H11" s="6">
        <v>27175.77</v>
      </c>
      <c r="I11" s="6">
        <v>30000</v>
      </c>
      <c r="J11" s="6"/>
      <c r="K11" s="6">
        <v>24548.825420000099</v>
      </c>
      <c r="L11" s="6">
        <v>27000</v>
      </c>
      <c r="M11" s="6"/>
      <c r="N11" s="6">
        <f t="shared" si="0"/>
        <v>259714.51542000007</v>
      </c>
      <c r="O11" s="6">
        <f t="shared" si="1"/>
        <v>297000</v>
      </c>
      <c r="P11" s="6"/>
    </row>
    <row r="12" spans="1:20" x14ac:dyDescent="0.35">
      <c r="A12" s="5" t="s">
        <v>7</v>
      </c>
      <c r="B12" s="6">
        <v>152150.76999999999</v>
      </c>
      <c r="C12" s="6">
        <v>175000</v>
      </c>
      <c r="D12" s="6"/>
      <c r="E12" s="6">
        <v>94365.8</v>
      </c>
      <c r="F12" s="6">
        <v>110000</v>
      </c>
      <c r="G12" s="6"/>
      <c r="H12" s="6">
        <v>25013.87</v>
      </c>
      <c r="I12" s="6">
        <v>27000</v>
      </c>
      <c r="J12" s="6"/>
      <c r="K12" s="6">
        <v>29853.997896200101</v>
      </c>
      <c r="L12" s="6">
        <v>32000</v>
      </c>
      <c r="M12" s="6"/>
      <c r="N12" s="6">
        <f t="shared" si="0"/>
        <v>301384.43789620011</v>
      </c>
      <c r="O12" s="6">
        <f t="shared" si="1"/>
        <v>344000</v>
      </c>
      <c r="P12" s="6"/>
    </row>
    <row r="13" spans="1:20" x14ac:dyDescent="0.35">
      <c r="A13" s="5" t="s">
        <v>8</v>
      </c>
      <c r="B13" s="6">
        <v>81539.759999999995</v>
      </c>
      <c r="C13" s="6">
        <v>95000</v>
      </c>
      <c r="D13" s="6"/>
      <c r="E13" s="6">
        <v>60551.75</v>
      </c>
      <c r="F13" s="6">
        <v>70000</v>
      </c>
      <c r="G13" s="6"/>
      <c r="H13" s="6">
        <v>19153.23</v>
      </c>
      <c r="I13" s="6">
        <v>21000</v>
      </c>
      <c r="J13" s="6"/>
      <c r="K13" s="6">
        <v>19123.0641600001</v>
      </c>
      <c r="L13" s="6">
        <v>22000</v>
      </c>
      <c r="M13" s="6"/>
      <c r="N13" s="6">
        <f t="shared" si="0"/>
        <v>180367.80416000012</v>
      </c>
      <c r="O13" s="6">
        <f t="shared" si="1"/>
        <v>208000</v>
      </c>
      <c r="P13" s="6"/>
    </row>
    <row r="14" spans="1:20" x14ac:dyDescent="0.35">
      <c r="A14" s="5" t="s">
        <v>9</v>
      </c>
      <c r="B14" s="6">
        <v>107406.66</v>
      </c>
      <c r="C14" s="6">
        <v>130000</v>
      </c>
      <c r="D14" s="6"/>
      <c r="E14" s="6">
        <v>65548.710000000006</v>
      </c>
      <c r="F14" s="6">
        <v>75000</v>
      </c>
      <c r="G14" s="6"/>
      <c r="H14" s="6">
        <v>21530.97</v>
      </c>
      <c r="I14" s="6">
        <v>24000</v>
      </c>
      <c r="J14" s="6"/>
      <c r="K14" s="6">
        <v>25278.241062000099</v>
      </c>
      <c r="L14" s="6">
        <v>30000</v>
      </c>
      <c r="M14" s="6"/>
      <c r="N14" s="6">
        <f t="shared" si="0"/>
        <v>219764.5810620001</v>
      </c>
      <c r="O14" s="6">
        <f t="shared" si="1"/>
        <v>259000</v>
      </c>
      <c r="P14" s="6"/>
    </row>
    <row r="15" spans="1:20" x14ac:dyDescent="0.35">
      <c r="A15" s="5" t="s">
        <v>10</v>
      </c>
      <c r="B15" s="6">
        <v>130892.71</v>
      </c>
      <c r="C15" s="6">
        <v>150000</v>
      </c>
      <c r="D15" s="6"/>
      <c r="E15" s="6">
        <v>93809.34</v>
      </c>
      <c r="F15" s="6">
        <v>110000</v>
      </c>
      <c r="G15" s="6"/>
      <c r="H15" s="6">
        <v>32754.14</v>
      </c>
      <c r="I15" s="6">
        <v>35000</v>
      </c>
      <c r="J15" s="6"/>
      <c r="K15" s="6">
        <v>44045.958546599803</v>
      </c>
      <c r="L15" s="6">
        <v>50000</v>
      </c>
      <c r="M15" s="6"/>
      <c r="N15" s="6">
        <f t="shared" si="0"/>
        <v>301502.14854659978</v>
      </c>
      <c r="O15" s="6">
        <f t="shared" si="1"/>
        <v>345000</v>
      </c>
      <c r="P15" s="6"/>
    </row>
    <row r="16" spans="1:20" x14ac:dyDescent="0.35">
      <c r="A16" s="5" t="s">
        <v>11</v>
      </c>
      <c r="B16" s="6">
        <v>194036.5</v>
      </c>
      <c r="C16" s="6">
        <v>250000</v>
      </c>
      <c r="D16" s="6"/>
      <c r="E16" s="6">
        <v>120760</v>
      </c>
      <c r="F16" s="6">
        <v>170000</v>
      </c>
      <c r="G16" s="6"/>
      <c r="H16" s="6">
        <v>48893.31</v>
      </c>
      <c r="I16" s="6">
        <v>60000</v>
      </c>
      <c r="J16" s="6"/>
      <c r="K16" s="6">
        <v>86011.1374843987</v>
      </c>
      <c r="L16" s="6">
        <v>100000</v>
      </c>
      <c r="M16" s="6"/>
      <c r="N16" s="6">
        <f t="shared" si="0"/>
        <v>449700.94748439873</v>
      </c>
      <c r="O16" s="6">
        <f t="shared" si="1"/>
        <v>580000</v>
      </c>
      <c r="P16" s="6"/>
    </row>
    <row r="17" spans="1:20" x14ac:dyDescent="0.35">
      <c r="A17" s="7" t="s">
        <v>18</v>
      </c>
      <c r="B17" s="8">
        <f>SUM(B5:B16)</f>
        <v>1327274.2</v>
      </c>
      <c r="C17" s="8">
        <f t="shared" ref="C17:P17" si="7">SUM(C5:C16)</f>
        <v>1600000</v>
      </c>
      <c r="D17" s="8">
        <f t="shared" si="7"/>
        <v>694287.77</v>
      </c>
      <c r="E17" s="8">
        <f t="shared" si="7"/>
        <v>863774.75999999989</v>
      </c>
      <c r="F17" s="8">
        <f t="shared" si="7"/>
        <v>1040000</v>
      </c>
      <c r="G17" s="8">
        <f t="shared" si="7"/>
        <v>372623.87</v>
      </c>
      <c r="H17" s="8">
        <f t="shared" si="7"/>
        <v>321653.33</v>
      </c>
      <c r="I17" s="8">
        <f t="shared" si="7"/>
        <v>360000</v>
      </c>
      <c r="J17" s="8">
        <f t="shared" si="7"/>
        <v>116583.90000000001</v>
      </c>
      <c r="K17" s="8">
        <f t="shared" si="7"/>
        <v>351211.42957739928</v>
      </c>
      <c r="L17" s="8">
        <f t="shared" si="7"/>
        <v>400000</v>
      </c>
      <c r="M17" s="8">
        <f t="shared" si="7"/>
        <v>150256.12</v>
      </c>
      <c r="N17" s="8">
        <f t="shared" si="7"/>
        <v>2863913.7195773991</v>
      </c>
      <c r="O17" s="8">
        <f t="shared" si="7"/>
        <v>3400000</v>
      </c>
      <c r="P17" s="8">
        <f t="shared" si="7"/>
        <v>1333751.6599999999</v>
      </c>
      <c r="Q17" s="16">
        <f>SUM(Q5:Q16)</f>
        <v>182272.37499179959</v>
      </c>
      <c r="R17" s="18">
        <f>Q17/SUM(N5:N7)</f>
        <v>0.32214155425973939</v>
      </c>
      <c r="S17" s="16">
        <f>SUM(S5:S16)</f>
        <v>-33248.340000000055</v>
      </c>
      <c r="T17" s="17">
        <f>S17/SUM(O5:O7)</f>
        <v>-4.9624388059701575E-2</v>
      </c>
    </row>
    <row r="18" spans="1:20" x14ac:dyDescent="0.35">
      <c r="C18" s="12">
        <f>(C17-B17)/B17</f>
        <v>0.20547811446948946</v>
      </c>
      <c r="F18" s="12">
        <f>(F17-E17)/E17</f>
        <v>0.20401758439897008</v>
      </c>
      <c r="I18" s="12">
        <f>(I17-H17)/H17</f>
        <v>0.1192173884846769</v>
      </c>
      <c r="L18" s="12">
        <f>(L17-K17)/K17</f>
        <v>0.13891509875207178</v>
      </c>
      <c r="O18" s="12">
        <f>(O17-N17)/N17</f>
        <v>0.18718660298945952</v>
      </c>
    </row>
    <row r="20" spans="1:20" x14ac:dyDescent="0.35">
      <c r="B20" s="26" t="s">
        <v>19</v>
      </c>
      <c r="C20" s="26"/>
      <c r="D20" s="1"/>
      <c r="E20" s="26" t="s">
        <v>20</v>
      </c>
      <c r="F20" s="26"/>
      <c r="G20" s="1"/>
      <c r="H20" s="31" t="s">
        <v>17</v>
      </c>
      <c r="I20" s="32"/>
      <c r="J20" s="32"/>
    </row>
    <row r="21" spans="1:20" x14ac:dyDescent="0.35">
      <c r="A21" s="4" t="s">
        <v>12</v>
      </c>
      <c r="B21" s="2">
        <v>2025</v>
      </c>
      <c r="C21" s="3">
        <v>2026</v>
      </c>
      <c r="D21" s="10" t="s">
        <v>22</v>
      </c>
      <c r="E21" s="2">
        <v>2025</v>
      </c>
      <c r="F21" s="3">
        <v>2026</v>
      </c>
      <c r="G21" s="10" t="s">
        <v>22</v>
      </c>
      <c r="H21" s="2">
        <v>2025</v>
      </c>
      <c r="I21" s="3">
        <v>2026</v>
      </c>
      <c r="J21" s="10" t="s">
        <v>22</v>
      </c>
      <c r="K21" s="15" t="s">
        <v>23</v>
      </c>
      <c r="L21" s="15" t="s">
        <v>24</v>
      </c>
      <c r="M21" s="15" t="s">
        <v>25</v>
      </c>
      <c r="N21" s="15" t="s">
        <v>26</v>
      </c>
    </row>
    <row r="22" spans="1:20" x14ac:dyDescent="0.35">
      <c r="A22" s="5" t="s">
        <v>0</v>
      </c>
      <c r="B22" s="6">
        <v>103979.7</v>
      </c>
      <c r="C22" s="6">
        <v>110000</v>
      </c>
      <c r="D22" s="6">
        <v>100486.97</v>
      </c>
      <c r="E22" s="6">
        <v>75166.100682999298</v>
      </c>
      <c r="F22" s="6">
        <v>85000</v>
      </c>
      <c r="G22" s="6">
        <v>87749.06</v>
      </c>
      <c r="H22" s="6">
        <f>B22+E22</f>
        <v>179145.80068299931</v>
      </c>
      <c r="I22" s="6">
        <f>C22+F22</f>
        <v>195000</v>
      </c>
      <c r="J22" s="6">
        <f>D22+G22</f>
        <v>188236.03</v>
      </c>
      <c r="K22" s="13">
        <f>J22-H22</f>
        <v>9090.2293170006888</v>
      </c>
      <c r="L22" s="14">
        <f>K22/H22</f>
        <v>5.0742073117783885E-2</v>
      </c>
      <c r="M22" s="13">
        <f>J22-I22</f>
        <v>-6763.9700000000012</v>
      </c>
      <c r="N22" s="14">
        <f>M22/I22</f>
        <v>-3.4687025641025646E-2</v>
      </c>
    </row>
    <row r="23" spans="1:20" x14ac:dyDescent="0.35">
      <c r="A23" s="5" t="s">
        <v>1</v>
      </c>
      <c r="B23" s="6">
        <v>99043.53</v>
      </c>
      <c r="C23" s="6">
        <v>110000</v>
      </c>
      <c r="D23" s="6">
        <v>111645.55</v>
      </c>
      <c r="E23" s="6">
        <v>75412.852526048999</v>
      </c>
      <c r="F23" s="6">
        <v>85000</v>
      </c>
      <c r="G23" s="6">
        <v>90543.2</v>
      </c>
      <c r="H23" s="6">
        <f t="shared" ref="H23:H33" si="8">B23+E23</f>
        <v>174456.38252604898</v>
      </c>
      <c r="I23" s="6">
        <f t="shared" ref="I23:I33" si="9">C23+F23</f>
        <v>195000</v>
      </c>
      <c r="J23" s="6">
        <f>D23+G23</f>
        <v>202188.75</v>
      </c>
      <c r="K23" s="13">
        <f>J23-H23</f>
        <v>27732.367473951017</v>
      </c>
      <c r="L23" s="14">
        <f>K23/H23</f>
        <v>0.15896447623411059</v>
      </c>
      <c r="M23" s="13">
        <f>J23-I23</f>
        <v>7188.75</v>
      </c>
      <c r="N23" s="14">
        <f>M23/I23</f>
        <v>3.6865384615384612E-2</v>
      </c>
    </row>
    <row r="24" spans="1:20" x14ac:dyDescent="0.35">
      <c r="A24" s="5" t="s">
        <v>2</v>
      </c>
      <c r="B24" s="6">
        <v>125123.02</v>
      </c>
      <c r="C24" s="6">
        <v>130000</v>
      </c>
      <c r="D24" s="6">
        <v>138375.76999999999</v>
      </c>
      <c r="E24" s="6">
        <v>92337.675152998796</v>
      </c>
      <c r="F24" s="11">
        <v>100000</v>
      </c>
      <c r="G24" s="6">
        <v>107441.60000000001</v>
      </c>
      <c r="H24" s="6">
        <f t="shared" si="8"/>
        <v>217460.69515299879</v>
      </c>
      <c r="I24" s="6">
        <f t="shared" si="9"/>
        <v>230000</v>
      </c>
      <c r="J24" s="6">
        <f>D24+G24</f>
        <v>245817.37</v>
      </c>
      <c r="K24" s="13">
        <f>J24-H24</f>
        <v>28356.67484700121</v>
      </c>
      <c r="L24" s="14">
        <f>K24/H24</f>
        <v>0.13039908120890678</v>
      </c>
      <c r="M24" s="13">
        <f>J24-I24</f>
        <v>15817.369999999995</v>
      </c>
      <c r="N24" s="14">
        <f>M24/I24</f>
        <v>6.8771173913043451E-2</v>
      </c>
    </row>
    <row r="25" spans="1:20" x14ac:dyDescent="0.35">
      <c r="A25" s="5" t="s">
        <v>3</v>
      </c>
      <c r="B25" s="6">
        <v>91324.1</v>
      </c>
      <c r="C25" s="6">
        <v>100000</v>
      </c>
      <c r="D25" s="6">
        <v>134852.44</v>
      </c>
      <c r="E25" s="6">
        <v>82496.127719049196</v>
      </c>
      <c r="F25" s="6">
        <v>95000</v>
      </c>
      <c r="G25" s="6">
        <v>95808.29</v>
      </c>
      <c r="H25" s="6">
        <f t="shared" si="8"/>
        <v>173820.2277190492</v>
      </c>
      <c r="I25" s="6">
        <f t="shared" si="9"/>
        <v>195000</v>
      </c>
      <c r="J25" s="6">
        <f>D25+G25</f>
        <v>230660.72999999998</v>
      </c>
      <c r="K25" s="13">
        <f t="shared" ref="K25:K27" si="10">J25-H25</f>
        <v>56840.502280950779</v>
      </c>
      <c r="L25" s="14">
        <f t="shared" ref="L25:L27" si="11">K25/H25</f>
        <v>0.32700740890078556</v>
      </c>
      <c r="M25" s="13">
        <f t="shared" ref="M25:M27" si="12">J25-I25</f>
        <v>35660.729999999981</v>
      </c>
      <c r="N25" s="14">
        <f t="shared" ref="N25:N27" si="13">M25/I25</f>
        <v>0.18287553846153837</v>
      </c>
    </row>
    <row r="26" spans="1:20" x14ac:dyDescent="0.35">
      <c r="A26" s="5" t="s">
        <v>4</v>
      </c>
      <c r="B26" s="6">
        <v>107713.58</v>
      </c>
      <c r="C26" s="6">
        <v>115000</v>
      </c>
      <c r="D26" s="6">
        <v>121572.77</v>
      </c>
      <c r="E26" s="6">
        <v>78998.073578998999</v>
      </c>
      <c r="F26" s="6">
        <v>90000</v>
      </c>
      <c r="G26" s="6">
        <v>100106.16</v>
      </c>
      <c r="H26" s="6">
        <f t="shared" si="8"/>
        <v>186711.65357899899</v>
      </c>
      <c r="I26" s="6">
        <f t="shared" si="9"/>
        <v>205000</v>
      </c>
      <c r="J26" s="6">
        <f t="shared" ref="J26:J27" si="14">D26+G26</f>
        <v>221678.93</v>
      </c>
      <c r="K26" s="13">
        <f t="shared" si="10"/>
        <v>34967.276421001006</v>
      </c>
      <c r="L26" s="14">
        <f t="shared" si="11"/>
        <v>0.18727956049195457</v>
      </c>
      <c r="M26" s="13">
        <f t="shared" si="12"/>
        <v>16678.929999999993</v>
      </c>
      <c r="N26" s="14">
        <f t="shared" si="13"/>
        <v>8.1360634146341426E-2</v>
      </c>
    </row>
    <row r="27" spans="1:20" x14ac:dyDescent="0.35">
      <c r="A27" s="5" t="s">
        <v>5</v>
      </c>
      <c r="B27" s="6">
        <v>4361.54</v>
      </c>
      <c r="C27" s="6">
        <v>120000</v>
      </c>
      <c r="D27" s="6">
        <v>97429.29</v>
      </c>
      <c r="E27" s="6">
        <v>103310.404373499</v>
      </c>
      <c r="F27" s="6">
        <v>100000</v>
      </c>
      <c r="G27" s="6">
        <v>81942.03</v>
      </c>
      <c r="H27" s="6">
        <f t="shared" si="8"/>
        <v>107671.94437349899</v>
      </c>
      <c r="I27" s="6">
        <f t="shared" si="9"/>
        <v>220000</v>
      </c>
      <c r="J27" s="6">
        <f t="shared" si="14"/>
        <v>179371.32</v>
      </c>
      <c r="K27" s="13">
        <f t="shared" si="10"/>
        <v>71699.375626501016</v>
      </c>
      <c r="L27" s="14">
        <f t="shared" si="11"/>
        <v>0.66590583130723324</v>
      </c>
      <c r="M27" s="13">
        <f t="shared" si="12"/>
        <v>-40628.679999999993</v>
      </c>
      <c r="N27" s="14">
        <f t="shared" si="13"/>
        <v>-0.18467581818181816</v>
      </c>
    </row>
    <row r="28" spans="1:20" x14ac:dyDescent="0.35">
      <c r="A28" s="5" t="s">
        <v>6</v>
      </c>
      <c r="B28" s="6">
        <v>941.35249999999996</v>
      </c>
      <c r="C28" s="6">
        <v>115000</v>
      </c>
      <c r="D28" s="6"/>
      <c r="E28" s="6">
        <v>108016.816246099</v>
      </c>
      <c r="F28" s="6">
        <v>100000</v>
      </c>
      <c r="G28" s="6"/>
      <c r="H28" s="6">
        <f t="shared" si="8"/>
        <v>108958.16874609899</v>
      </c>
      <c r="I28" s="6">
        <f t="shared" si="9"/>
        <v>215000</v>
      </c>
      <c r="J28" s="6"/>
    </row>
    <row r="29" spans="1:20" x14ac:dyDescent="0.35">
      <c r="A29" s="5" t="s">
        <v>7</v>
      </c>
      <c r="B29" s="6">
        <v>235.967671</v>
      </c>
      <c r="C29" s="6">
        <v>130000</v>
      </c>
      <c r="D29" s="6"/>
      <c r="E29" s="6">
        <v>127781.629259348</v>
      </c>
      <c r="F29" s="6">
        <v>110000</v>
      </c>
      <c r="G29" s="6"/>
      <c r="H29" s="6">
        <f t="shared" si="8"/>
        <v>128017.59693034801</v>
      </c>
      <c r="I29" s="6">
        <f t="shared" si="9"/>
        <v>240000</v>
      </c>
      <c r="J29" s="6"/>
    </row>
    <row r="30" spans="1:20" x14ac:dyDescent="0.35">
      <c r="A30" s="5" t="s">
        <v>8</v>
      </c>
      <c r="B30" s="6">
        <v>112338.748289998</v>
      </c>
      <c r="C30" s="6">
        <v>120000</v>
      </c>
      <c r="D30" s="6"/>
      <c r="E30" s="6">
        <v>83967.603161099003</v>
      </c>
      <c r="F30" s="11">
        <v>90000</v>
      </c>
      <c r="G30" s="6"/>
      <c r="H30" s="6">
        <f t="shared" si="8"/>
        <v>196306.351451097</v>
      </c>
      <c r="I30" s="6">
        <f t="shared" si="9"/>
        <v>210000</v>
      </c>
      <c r="J30" s="6"/>
    </row>
    <row r="31" spans="1:20" x14ac:dyDescent="0.35">
      <c r="A31" s="5" t="s">
        <v>9</v>
      </c>
      <c r="B31" s="6">
        <v>111681.322704498</v>
      </c>
      <c r="C31" s="6">
        <v>125000</v>
      </c>
      <c r="D31" s="6"/>
      <c r="E31" s="6">
        <v>102804.318490099</v>
      </c>
      <c r="F31" s="11">
        <v>110000</v>
      </c>
      <c r="G31" s="6"/>
      <c r="H31" s="6">
        <f t="shared" si="8"/>
        <v>214485.641194597</v>
      </c>
      <c r="I31" s="6">
        <f t="shared" si="9"/>
        <v>235000</v>
      </c>
      <c r="J31" s="6"/>
    </row>
    <row r="32" spans="1:20" x14ac:dyDescent="0.35">
      <c r="A32" s="5" t="s">
        <v>10</v>
      </c>
      <c r="B32" s="6">
        <v>115084.691317</v>
      </c>
      <c r="C32" s="6">
        <v>125000</v>
      </c>
      <c r="D32" s="6"/>
      <c r="E32" s="6">
        <v>115378.457887</v>
      </c>
      <c r="F32" s="11">
        <v>125000</v>
      </c>
      <c r="G32" s="6"/>
      <c r="H32" s="6">
        <f t="shared" si="8"/>
        <v>230463.14920400002</v>
      </c>
      <c r="I32" s="6">
        <f t="shared" si="9"/>
        <v>250000</v>
      </c>
      <c r="J32" s="6"/>
    </row>
    <row r="33" spans="1:14" x14ac:dyDescent="0.35">
      <c r="A33" s="5" t="s">
        <v>11</v>
      </c>
      <c r="B33" s="6">
        <v>124475.188101999</v>
      </c>
      <c r="C33" s="6">
        <v>150000</v>
      </c>
      <c r="D33" s="6"/>
      <c r="E33" s="6">
        <v>121634.63974519901</v>
      </c>
      <c r="F33" s="6">
        <v>130000</v>
      </c>
      <c r="G33" s="6"/>
      <c r="H33" s="6">
        <f t="shared" si="8"/>
        <v>246109.827847198</v>
      </c>
      <c r="I33" s="6">
        <f t="shared" si="9"/>
        <v>280000</v>
      </c>
      <c r="J33" s="6"/>
    </row>
    <row r="34" spans="1:14" x14ac:dyDescent="0.35">
      <c r="A34" s="7" t="s">
        <v>18</v>
      </c>
      <c r="B34" s="8">
        <f>SUM(B22:B33)</f>
        <v>996302.74058449501</v>
      </c>
      <c r="C34" s="8">
        <f t="shared" ref="C34:D34" si="15">SUM(C22:C33)</f>
        <v>1450000</v>
      </c>
      <c r="D34" s="8">
        <f t="shared" si="15"/>
        <v>704362.79</v>
      </c>
      <c r="E34" s="8">
        <f t="shared" ref="E34" si="16">SUM(E22:E33)</f>
        <v>1167304.6988224383</v>
      </c>
      <c r="F34" s="8">
        <f t="shared" ref="F34:G34" si="17">SUM(F22:F33)</f>
        <v>1220000</v>
      </c>
      <c r="G34" s="8">
        <f t="shared" si="17"/>
        <v>563590.34</v>
      </c>
      <c r="H34" s="8">
        <f t="shared" ref="H34" si="18">SUM(H22:H33)</f>
        <v>2163607.4394069333</v>
      </c>
      <c r="I34" s="8">
        <f t="shared" ref="I34:J34" si="19">SUM(I22:I33)</f>
        <v>2670000</v>
      </c>
      <c r="J34" s="8">
        <f t="shared" si="19"/>
        <v>1267953.1300000001</v>
      </c>
      <c r="K34" s="16">
        <f>SUM(K22:K33)</f>
        <v>228686.42596640572</v>
      </c>
      <c r="L34" s="17">
        <f>K34/SUM(H22:H24)</f>
        <v>0.40045752338575447</v>
      </c>
      <c r="M34" s="16">
        <f t="shared" ref="M34" si="20">SUM(M22:M33)</f>
        <v>27953.129999999976</v>
      </c>
      <c r="N34" s="19">
        <f>M34/(SUM(I22:I24))</f>
        <v>4.5085693548387054E-2</v>
      </c>
    </row>
    <row r="35" spans="1:14" x14ac:dyDescent="0.35">
      <c r="C35" s="12">
        <f>(C34-B34)/B34</f>
        <v>0.45538092081262077</v>
      </c>
      <c r="F35" s="12">
        <f>(F34-E34)/E34</f>
        <v>4.5142713149977108E-2</v>
      </c>
      <c r="I35" s="12">
        <f>(I34-H34)/H34</f>
        <v>0.23405011064847978</v>
      </c>
    </row>
  </sheetData>
  <mergeCells count="8">
    <mergeCell ref="B20:C20"/>
    <mergeCell ref="E20:F20"/>
    <mergeCell ref="N3:P3"/>
    <mergeCell ref="K3:M3"/>
    <mergeCell ref="H3:J3"/>
    <mergeCell ref="E3:G3"/>
    <mergeCell ref="B3:D3"/>
    <mergeCell ref="H20:J20"/>
  </mergeCells>
  <pageMargins left="0.31496062992125984" right="0.11811023622047245" top="0.35433070866141736" bottom="0.35433070866141736" header="0.31496062992125984" footer="0.31496062992125984"/>
  <pageSetup paperSize="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Consolidado</vt:lpstr>
      <vt:lpstr>Presupuesto de vts 2026</vt:lpstr>
      <vt:lpstr>'Presupuesto de vts 2026'!Área_de_impresión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Peraza</dc:creator>
  <cp:lastModifiedBy>Jorge Peraza</cp:lastModifiedBy>
  <cp:lastPrinted>2026-04-17T14:03:18Z</cp:lastPrinted>
  <dcterms:created xsi:type="dcterms:W3CDTF">2026-01-29T14:19:37Z</dcterms:created>
  <dcterms:modified xsi:type="dcterms:W3CDTF">2026-07-02T17:16:13Z</dcterms:modified>
</cp:coreProperties>
</file>